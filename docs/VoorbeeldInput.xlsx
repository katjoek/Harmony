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and\Downloads\"/>
    </mc:Choice>
  </mc:AlternateContent>
  <xr:revisionPtr revIDLastSave="0" documentId="13_ncr:1_{FA187BDE-F637-498D-A4F1-23669B01E676}" xr6:coauthVersionLast="47" xr6:coauthVersionMax="47" xr10:uidLastSave="{00000000-0000-0000-0000-000000000000}"/>
  <bookViews>
    <workbookView xWindow="-110" yWindow="-110" windowWidth="38620" windowHeight="21100" xr2:uid="{CE6C1088-1BA3-43D1-8D11-BD5B212557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4" i="1"/>
  <c r="F3" i="1"/>
  <c r="E3" i="1"/>
</calcChain>
</file>

<file path=xl/sharedStrings.xml><?xml version="1.0" encoding="utf-8"?>
<sst xmlns="http://schemas.openxmlformats.org/spreadsheetml/2006/main" count="258" uniqueCount="182">
  <si>
    <t>alle vrijwilligfers</t>
  </si>
  <si>
    <t>Andere relaties</t>
  </si>
  <si>
    <t xml:space="preserve"> afscheidsvieringen</t>
  </si>
  <si>
    <t xml:space="preserve"> bloemengroep</t>
  </si>
  <si>
    <t xml:space="preserve"> bezorg parochiebl.</t>
  </si>
  <si>
    <t xml:space="preserve"> bestuur</t>
  </si>
  <si>
    <t xml:space="preserve"> cantoren</t>
  </si>
  <si>
    <t>coordinatoren wrkgr.</t>
  </si>
  <si>
    <t xml:space="preserve"> Da's Passie</t>
  </si>
  <si>
    <t>Diaconie werkgroep</t>
  </si>
  <si>
    <t xml:space="preserve"> familiepastoraat</t>
  </si>
  <si>
    <t xml:space="preserve"> gastdames/heren</t>
  </si>
  <si>
    <t>Jozef-koor</t>
  </si>
  <si>
    <t>Het Osse Inloophuis</t>
  </si>
  <si>
    <t xml:space="preserve"> ICT + webside-groep</t>
  </si>
  <si>
    <t xml:space="preserve"> kerkbalans bezorg</t>
  </si>
  <si>
    <t xml:space="preserve"> kruisjes en duifjes</t>
  </si>
  <si>
    <t xml:space="preserve"> kerkbalans inst.</t>
  </si>
  <si>
    <t xml:space="preserve"> klusjesmannen</t>
  </si>
  <si>
    <t xml:space="preserve"> kosters</t>
  </si>
  <si>
    <t xml:space="preserve"> koffieschenkers</t>
  </si>
  <si>
    <t xml:space="preserve"> ledenadministratie</t>
  </si>
  <si>
    <t xml:space="preserve"> liturgisch beraad</t>
  </si>
  <si>
    <t>Lunchgroepje</t>
  </si>
  <si>
    <t xml:space="preserve"> lectoren</t>
  </si>
  <si>
    <t xml:space="preserve"> mediorenkoor</t>
  </si>
  <si>
    <t xml:space="preserve"> organisten en dirigenten</t>
  </si>
  <si>
    <t xml:space="preserve"> oproeptelefoon</t>
  </si>
  <si>
    <t xml:space="preserve"> projectie</t>
  </si>
  <si>
    <t xml:space="preserve"> pastoraalteam</t>
  </si>
  <si>
    <t>roostergroep</t>
  </si>
  <si>
    <t xml:space="preserve"> redactie parochieblad</t>
  </si>
  <si>
    <t>Titus Brandsmakoor</t>
  </si>
  <si>
    <t xml:space="preserve"> tuinverzorging</t>
  </si>
  <si>
    <t xml:space="preserve"> verjaardagskaarten</t>
  </si>
  <si>
    <t>woord-en-communiegroep</t>
  </si>
  <si>
    <t xml:space="preserve"> werk in uitvoering</t>
  </si>
  <si>
    <t>personen zonder werkgroep</t>
  </si>
  <si>
    <t xml:space="preserve"> Zonnebloem Oss Zuid</t>
  </si>
  <si>
    <t>Voornaam</t>
  </si>
  <si>
    <t>T.voeg</t>
  </si>
  <si>
    <t>Achternaam</t>
  </si>
  <si>
    <t>Volledige naam</t>
  </si>
  <si>
    <t>Naam volledig</t>
  </si>
  <si>
    <t>Telefoonnummer</t>
  </si>
  <si>
    <t>E-mailadres</t>
  </si>
  <si>
    <t>Huisadres</t>
  </si>
  <si>
    <t>Postcode</t>
  </si>
  <si>
    <t>Woonpl.</t>
  </si>
  <si>
    <t>Geb. datum</t>
  </si>
  <si>
    <t>AA</t>
  </si>
  <si>
    <t>AR</t>
  </si>
  <si>
    <t>AV</t>
  </si>
  <si>
    <t>BG</t>
  </si>
  <si>
    <t>BP</t>
  </si>
  <si>
    <t>BS</t>
  </si>
  <si>
    <t>CT</t>
  </si>
  <si>
    <t>CW</t>
  </si>
  <si>
    <t>DP</t>
  </si>
  <si>
    <t>DI</t>
  </si>
  <si>
    <t>FP</t>
  </si>
  <si>
    <t>GD</t>
  </si>
  <si>
    <t>JK</t>
  </si>
  <si>
    <t>HI</t>
  </si>
  <si>
    <t>IG</t>
  </si>
  <si>
    <t>KB</t>
  </si>
  <si>
    <t>KD</t>
  </si>
  <si>
    <t>KI</t>
  </si>
  <si>
    <t>KM</t>
  </si>
  <si>
    <t>KO</t>
  </si>
  <si>
    <t>KS</t>
  </si>
  <si>
    <t>LA</t>
  </si>
  <si>
    <t>LB</t>
  </si>
  <si>
    <t>LG</t>
  </si>
  <si>
    <t>LT</t>
  </si>
  <si>
    <t>MK</t>
  </si>
  <si>
    <t>OD</t>
  </si>
  <si>
    <t>OT</t>
  </si>
  <si>
    <t>PJ</t>
  </si>
  <si>
    <t>PT</t>
  </si>
  <si>
    <t>RG</t>
  </si>
  <si>
    <t>RP</t>
  </si>
  <si>
    <t>TK</t>
  </si>
  <si>
    <t>TV</t>
  </si>
  <si>
    <t>VK</t>
  </si>
  <si>
    <t>WC</t>
  </si>
  <si>
    <t>WU</t>
  </si>
  <si>
    <t>ZW</t>
  </si>
  <si>
    <t>ZZ</t>
  </si>
  <si>
    <t>selectie-code</t>
  </si>
  <si>
    <t>Oss</t>
  </si>
  <si>
    <t>Aa</t>
  </si>
  <si>
    <t xml:space="preserve"> </t>
  </si>
  <si>
    <t>Zw</t>
  </si>
  <si>
    <t xml:space="preserve"> Aa                                         Zw </t>
  </si>
  <si>
    <t>Hi</t>
  </si>
  <si>
    <t xml:space="preserve"> Aa             Hi                         </t>
  </si>
  <si>
    <t>AFK</t>
  </si>
  <si>
    <t>WERKGROEP</t>
  </si>
  <si>
    <t>Naam coordinator</t>
  </si>
  <si>
    <t>Opmerking</t>
  </si>
  <si>
    <r>
      <t xml:space="preserve">Nieuwe groepen toevoegen </t>
    </r>
    <r>
      <rPr>
        <b/>
        <sz val="10"/>
        <color rgb="FF000000"/>
        <rFont val="Arial"/>
        <family val="2"/>
      </rPr>
      <t>onder</t>
    </r>
    <r>
      <rPr>
        <sz val="10"/>
        <color rgb="FF000000"/>
        <rFont val="Arial"/>
        <family val="2"/>
      </rPr>
      <t xml:space="preserve"> deze rij</t>
    </r>
  </si>
  <si>
    <t>alle vrijwilligers</t>
  </si>
  <si>
    <t>Kees von Harenberg</t>
  </si>
  <si>
    <t xml:space="preserve">andere relaties </t>
  </si>
  <si>
    <t xml:space="preserve">Afscheidsvieringen </t>
  </si>
  <si>
    <t>Peter Lammers</t>
  </si>
  <si>
    <t>20-03-'23</t>
  </si>
  <si>
    <t>bloemengroep</t>
  </si>
  <si>
    <t>Agaat Juurlink</t>
  </si>
  <si>
    <t>bezorging parochieblad</t>
  </si>
  <si>
    <t>Henk Peters</t>
  </si>
  <si>
    <t>bestuur</t>
  </si>
  <si>
    <t>cantoren</t>
  </si>
  <si>
    <t>Jan van de Veerdonk</t>
  </si>
  <si>
    <t>05-04-'23</t>
  </si>
  <si>
    <t>Da's Passie</t>
  </si>
  <si>
    <t>Diaconiewerkgroep</t>
  </si>
  <si>
    <t>familiepastoraat</t>
  </si>
  <si>
    <t>gastdames/heren</t>
  </si>
  <si>
    <t>Thea Wagemakers</t>
  </si>
  <si>
    <t>07-04-'23</t>
  </si>
  <si>
    <t>het Osse Inloophuis</t>
  </si>
  <si>
    <t>Bert Jansen Venneboer</t>
  </si>
  <si>
    <t>ICT+website-groep</t>
  </si>
  <si>
    <t>Curt Huismans</t>
  </si>
  <si>
    <t>Marijke Metsers</t>
  </si>
  <si>
    <t>13-04-'23, dirigent Leon van Schijndel</t>
  </si>
  <si>
    <t>kerkbalans bezorging</t>
  </si>
  <si>
    <t>Ria Reijkers</t>
  </si>
  <si>
    <t>13-04-'23</t>
  </si>
  <si>
    <t xml:space="preserve">kerkbalans insteken </t>
  </si>
  <si>
    <t>klusjesmannen</t>
  </si>
  <si>
    <t>Jan van Vlijmen</t>
  </si>
  <si>
    <t>kosters</t>
  </si>
  <si>
    <t>José de Bekker</t>
  </si>
  <si>
    <t>koffieschenkers</t>
  </si>
  <si>
    <t>Elly Molenaar</t>
  </si>
  <si>
    <t>14-04-'23 secr. Marijke Oomens</t>
  </si>
  <si>
    <t>ledenadministratie</t>
  </si>
  <si>
    <t>Ria Evers</t>
  </si>
  <si>
    <t>liturgischberaad</t>
  </si>
  <si>
    <t>Hélène Verbunt</t>
  </si>
  <si>
    <t>04-04-'23</t>
  </si>
  <si>
    <t>lectoren</t>
  </si>
  <si>
    <t>Ineke Broers</t>
  </si>
  <si>
    <t>mediorenkoor</t>
  </si>
  <si>
    <t>Lia Wagemakers</t>
  </si>
  <si>
    <t>07-04-'23, dirigent Kees von Harenberg</t>
  </si>
  <si>
    <t>organisten en dirigenten</t>
  </si>
  <si>
    <t>oproeptelefoon</t>
  </si>
  <si>
    <t>Loek Elemans</t>
  </si>
  <si>
    <t>projectie</t>
  </si>
  <si>
    <t>pastoraal team</t>
  </si>
  <si>
    <t>Tom Buitendijk</t>
  </si>
  <si>
    <t>redactie parochiebl.</t>
  </si>
  <si>
    <t>Riky de Jong</t>
  </si>
  <si>
    <t>TitusBrandsmakoor</t>
  </si>
  <si>
    <t>Riet Bogaars</t>
  </si>
  <si>
    <t xml:space="preserve">21-04-'23, dirigent Gerard van Schijndel </t>
  </si>
  <si>
    <t>tuinverzorging</t>
  </si>
  <si>
    <t>Diny Tebarts</t>
  </si>
  <si>
    <t>17-04-'23</t>
  </si>
  <si>
    <t>verjaardagskaarten</t>
  </si>
  <si>
    <t>Ria van de Veerdonk</t>
  </si>
  <si>
    <t>werk in uitvoering</t>
  </si>
  <si>
    <t>kees von Harenberg</t>
  </si>
  <si>
    <t>ZonnebloemOssZuid</t>
  </si>
  <si>
    <t>Leonie van de Wetering</t>
  </si>
  <si>
    <r>
      <t xml:space="preserve">Nieuwe groepen toevoegen </t>
    </r>
    <r>
      <rPr>
        <b/>
        <sz val="10"/>
        <color rgb="FF000000"/>
        <rFont val="Arial"/>
        <family val="2"/>
      </rPr>
      <t>boven</t>
    </r>
    <r>
      <rPr>
        <sz val="10"/>
        <color rgb="FF000000"/>
        <rFont val="Arial"/>
        <family val="2"/>
      </rPr>
      <t xml:space="preserve"> deze rij</t>
    </r>
  </si>
  <si>
    <t>Femke</t>
  </si>
  <si>
    <t>Nico</t>
  </si>
  <si>
    <t>van de</t>
  </si>
  <si>
    <t>Velde</t>
  </si>
  <si>
    <t>06 12345678</t>
  </si>
  <si>
    <t>nvdvelde@gmail.com</t>
  </si>
  <si>
    <t>Eerste straat 1</t>
  </si>
  <si>
    <t>Tweede straat 23</t>
  </si>
  <si>
    <t>1111AA</t>
  </si>
  <si>
    <t>2222 AA</t>
  </si>
  <si>
    <t>Jansen</t>
  </si>
  <si>
    <r>
      <t xml:space="preserve">      </t>
    </r>
    <r>
      <rPr>
        <b/>
        <sz val="20"/>
        <color rgb="FF000000"/>
        <rFont val="Arial"/>
        <family val="2"/>
      </rPr>
      <t>Vrijwilligers Onze Parochie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</si>
</sst>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000000"/>
      <name val="Arial"/>
      <family val="2"/>
    </font>
    <font>
      <b/>
      <sz val="2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4" tint="-0.24997711111789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left" wrapText="1"/>
    </xf>
    <xf numFmtId="0" fontId="4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wrapText="1"/>
    </xf>
    <xf numFmtId="0" fontId="4" fillId="0" borderId="4" xfId="1" applyFont="1" applyBorder="1" applyAlignment="1">
      <alignment horizontal="center" vertical="center"/>
    </xf>
    <xf numFmtId="0" fontId="6" fillId="0" borderId="0" xfId="1" applyFont="1"/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168" fontId="3" fillId="0" borderId="22" xfId="1" applyNumberFormat="1" applyFont="1" applyBorder="1" applyAlignment="1">
      <alignment horizontal="center" wrapText="1"/>
    </xf>
    <xf numFmtId="0" fontId="4" fillId="0" borderId="24" xfId="1" applyFont="1" applyBorder="1" applyAlignment="1">
      <alignment horizontal="center" vertical="center"/>
    </xf>
    <xf numFmtId="0" fontId="2" fillId="0" borderId="8" xfId="1" applyBorder="1" applyAlignment="1">
      <alignment textRotation="45"/>
    </xf>
    <xf numFmtId="168" fontId="3" fillId="0" borderId="0" xfId="1" applyNumberFormat="1" applyFont="1" applyAlignment="1">
      <alignment horizontal="center" wrapText="1"/>
    </xf>
    <xf numFmtId="0" fontId="4" fillId="0" borderId="28" xfId="1" applyFont="1" applyBorder="1" applyAlignment="1">
      <alignment horizontal="center" vertical="center"/>
    </xf>
    <xf numFmtId="0" fontId="4" fillId="0" borderId="7" xfId="1" applyFont="1" applyBorder="1"/>
    <xf numFmtId="0" fontId="6" fillId="0" borderId="17" xfId="1" applyFont="1" applyBorder="1" applyAlignment="1">
      <alignment textRotation="45"/>
    </xf>
    <xf numFmtId="0" fontId="4" fillId="0" borderId="10" xfId="1" applyFont="1" applyBorder="1"/>
    <xf numFmtId="168" fontId="9" fillId="0" borderId="19" xfId="1" applyNumberFormat="1" applyFont="1" applyBorder="1" applyAlignment="1">
      <alignment horizontal="left" wrapText="1"/>
    </xf>
    <xf numFmtId="0" fontId="4" fillId="0" borderId="29" xfId="1" applyFont="1" applyBorder="1" applyAlignment="1">
      <alignment horizontal="center" vertical="center"/>
    </xf>
    <xf numFmtId="0" fontId="6" fillId="0" borderId="8" xfId="1" applyFont="1" applyBorder="1" applyAlignment="1">
      <alignment textRotation="45"/>
    </xf>
    <xf numFmtId="0" fontId="5" fillId="0" borderId="0" xfId="1" applyFont="1" applyAlignment="1">
      <alignment vertical="center"/>
    </xf>
    <xf numFmtId="0" fontId="12" fillId="0" borderId="2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168" fontId="3" fillId="0" borderId="21" xfId="1" applyNumberFormat="1" applyFont="1" applyBorder="1" applyAlignment="1">
      <alignment horizontal="center" wrapText="1"/>
    </xf>
    <xf numFmtId="0" fontId="7" fillId="4" borderId="13" xfId="1" applyFont="1" applyFill="1" applyBorder="1" applyAlignment="1">
      <alignment horizontal="center" vertical="center"/>
    </xf>
    <xf numFmtId="0" fontId="7" fillId="4" borderId="18" xfId="1" applyFont="1" applyFill="1" applyBorder="1" applyAlignment="1">
      <alignment horizontal="center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7" fillId="4" borderId="27" xfId="1" applyFont="1" applyFill="1" applyBorder="1" applyAlignment="1">
      <alignment horizontal="center" vertical="center"/>
    </xf>
    <xf numFmtId="0" fontId="4" fillId="0" borderId="28" xfId="1" applyFont="1" applyBorder="1"/>
    <xf numFmtId="0" fontId="4" fillId="0" borderId="16" xfId="1" applyFont="1" applyBorder="1"/>
    <xf numFmtId="0" fontId="3" fillId="0" borderId="23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0" borderId="0" xfId="1"/>
    <xf numFmtId="0" fontId="2" fillId="0" borderId="8" xfId="1" applyBorder="1"/>
    <xf numFmtId="0" fontId="6" fillId="2" borderId="8" xfId="1" applyFont="1" applyFill="1" applyBorder="1" applyAlignment="1">
      <alignment horizontal="center"/>
    </xf>
    <xf numFmtId="0" fontId="2" fillId="2" borderId="8" xfId="1" applyFill="1" applyBorder="1" applyAlignment="1">
      <alignment horizontal="center"/>
    </xf>
    <xf numFmtId="0" fontId="6" fillId="0" borderId="8" xfId="1" applyFont="1" applyBorder="1" applyAlignment="1">
      <alignment horizontal="left"/>
    </xf>
    <xf numFmtId="0" fontId="2" fillId="0" borderId="0" xfId="1" applyAlignment="1">
      <alignment horizontal="center"/>
    </xf>
    <xf numFmtId="0" fontId="2" fillId="0" borderId="17" xfId="1" applyBorder="1"/>
    <xf numFmtId="0" fontId="2" fillId="3" borderId="8" xfId="1" applyFill="1" applyBorder="1" applyAlignment="1">
      <alignment horizontal="center"/>
    </xf>
    <xf numFmtId="0" fontId="2" fillId="3" borderId="0" xfId="1" applyFill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left" wrapText="1"/>
    </xf>
    <xf numFmtId="0" fontId="2" fillId="3" borderId="8" xfId="1" applyFill="1" applyBorder="1"/>
    <xf numFmtId="0" fontId="6" fillId="3" borderId="8" xfId="1" applyFont="1" applyFill="1" applyBorder="1" applyAlignment="1">
      <alignment wrapText="1"/>
    </xf>
    <xf numFmtId="0" fontId="6" fillId="0" borderId="17" xfId="1" applyFont="1" applyBorder="1"/>
    <xf numFmtId="0" fontId="6" fillId="0" borderId="8" xfId="1" applyFont="1" applyBorder="1"/>
    <xf numFmtId="0" fontId="6" fillId="0" borderId="8" xfId="1" applyFont="1" applyBorder="1" applyAlignment="1">
      <alignment horizontal="center"/>
    </xf>
    <xf numFmtId="0" fontId="8" fillId="0" borderId="1" xfId="2" applyBorder="1" applyAlignment="1">
      <alignment horizontal="left" wrapText="1"/>
    </xf>
    <xf numFmtId="0" fontId="3" fillId="0" borderId="31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3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5">
    <cellStyle name="Hyperlink" xfId="2" builtinId="8"/>
    <cellStyle name="Hyperlink 2" xfId="4" xr:uid="{6A96E276-CAAF-4975-A940-2BF9A0076230}"/>
    <cellStyle name="Normal" xfId="0" builtinId="0"/>
    <cellStyle name="Normal 2" xfId="1" xr:uid="{6C12756B-298D-43A0-A670-4B8E17BB6E99}"/>
    <cellStyle name="Standaard 2" xfId="3" xr:uid="{CEBE2925-EDE9-464A-A796-5265B37AD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vdvel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9A99-C29E-43BA-B884-FB0C30128D1C}">
  <dimension ref="A1:BB4"/>
  <sheetViews>
    <sheetView tabSelected="1" workbookViewId="0">
      <selection activeCell="C3" sqref="C3"/>
    </sheetView>
  </sheetViews>
  <sheetFormatPr defaultRowHeight="14.5" x14ac:dyDescent="0.35"/>
  <cols>
    <col min="2" max="2" width="18.81640625" customWidth="1"/>
    <col min="3" max="3" width="11.7265625" customWidth="1"/>
    <col min="4" max="9" width="18.81640625" customWidth="1"/>
    <col min="10" max="10" width="9.54296875" customWidth="1"/>
    <col min="11" max="12" width="18.81640625" customWidth="1"/>
  </cols>
  <sheetData>
    <row r="1" spans="1:54" ht="99" thickBot="1" x14ac:dyDescent="0.4">
      <c r="A1" s="6"/>
      <c r="B1" s="1"/>
      <c r="C1" s="1"/>
      <c r="D1" s="1"/>
      <c r="E1" s="1"/>
      <c r="F1" s="1"/>
      <c r="G1" s="28" t="s">
        <v>181</v>
      </c>
      <c r="H1" s="28"/>
      <c r="I1" s="1"/>
      <c r="J1" s="1"/>
      <c r="K1" s="1"/>
      <c r="L1" s="1"/>
      <c r="M1" s="1"/>
      <c r="N1" s="23" t="s">
        <v>0</v>
      </c>
      <c r="O1" s="23" t="s">
        <v>1</v>
      </c>
      <c r="P1" s="19" t="s">
        <v>2</v>
      </c>
      <c r="Q1" s="19" t="s">
        <v>3</v>
      </c>
      <c r="R1" s="19" t="s">
        <v>4</v>
      </c>
      <c r="S1" s="19" t="s">
        <v>5</v>
      </c>
      <c r="T1" s="19" t="s">
        <v>6</v>
      </c>
      <c r="U1" s="19" t="s">
        <v>7</v>
      </c>
      <c r="V1" s="19" t="s">
        <v>8</v>
      </c>
      <c r="W1" s="19" t="s">
        <v>9</v>
      </c>
      <c r="X1" s="19" t="s">
        <v>10</v>
      </c>
      <c r="Y1" s="19" t="s">
        <v>11</v>
      </c>
      <c r="Z1" s="19" t="s">
        <v>12</v>
      </c>
      <c r="AA1" s="19" t="s">
        <v>13</v>
      </c>
      <c r="AB1" s="19" t="s">
        <v>14</v>
      </c>
      <c r="AC1" s="19" t="s">
        <v>15</v>
      </c>
      <c r="AD1" s="19" t="s">
        <v>16</v>
      </c>
      <c r="AE1" s="19" t="s">
        <v>17</v>
      </c>
      <c r="AF1" s="19" t="s">
        <v>18</v>
      </c>
      <c r="AG1" s="19" t="s">
        <v>19</v>
      </c>
      <c r="AH1" s="19" t="s">
        <v>20</v>
      </c>
      <c r="AI1" s="19" t="s">
        <v>21</v>
      </c>
      <c r="AJ1" s="19" t="s">
        <v>22</v>
      </c>
      <c r="AK1" s="19" t="s">
        <v>23</v>
      </c>
      <c r="AL1" s="19" t="s">
        <v>24</v>
      </c>
      <c r="AM1" s="19" t="s">
        <v>25</v>
      </c>
      <c r="AN1" s="19" t="s">
        <v>26</v>
      </c>
      <c r="AO1" s="19" t="s">
        <v>27</v>
      </c>
      <c r="AP1" s="19" t="s">
        <v>28</v>
      </c>
      <c r="AQ1" s="19" t="s">
        <v>29</v>
      </c>
      <c r="AR1" s="19" t="s">
        <v>30</v>
      </c>
      <c r="AS1" s="19" t="s">
        <v>31</v>
      </c>
      <c r="AT1" s="19" t="s">
        <v>32</v>
      </c>
      <c r="AU1" s="19" t="s">
        <v>33</v>
      </c>
      <c r="AV1" s="19" t="s">
        <v>34</v>
      </c>
      <c r="AW1" s="19" t="s">
        <v>35</v>
      </c>
      <c r="AX1" s="19" t="s">
        <v>36</v>
      </c>
      <c r="AY1" s="27" t="s">
        <v>37</v>
      </c>
      <c r="AZ1" s="19" t="s">
        <v>38</v>
      </c>
      <c r="BA1" s="1"/>
      <c r="BB1" s="1"/>
    </row>
    <row r="2" spans="1:54" ht="16" thickBot="1" x14ac:dyDescent="0.4">
      <c r="A2" s="1"/>
      <c r="B2" s="18" t="s">
        <v>39</v>
      </c>
      <c r="C2" s="5" t="s">
        <v>40</v>
      </c>
      <c r="D2" s="3" t="s">
        <v>41</v>
      </c>
      <c r="E2" s="5" t="s">
        <v>42</v>
      </c>
      <c r="F2" s="5" t="s">
        <v>43</v>
      </c>
      <c r="G2" s="5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16" t="s">
        <v>49</v>
      </c>
      <c r="M2" s="15"/>
      <c r="N2" s="34" t="s">
        <v>50</v>
      </c>
      <c r="O2" s="37" t="s">
        <v>51</v>
      </c>
      <c r="P2" s="35" t="s">
        <v>52</v>
      </c>
      <c r="Q2" s="36" t="s">
        <v>53</v>
      </c>
      <c r="R2" s="36" t="s">
        <v>54</v>
      </c>
      <c r="S2" s="33" t="s">
        <v>55</v>
      </c>
      <c r="T2" s="33" t="s">
        <v>56</v>
      </c>
      <c r="U2" s="33" t="s">
        <v>57</v>
      </c>
      <c r="V2" s="33" t="s">
        <v>58</v>
      </c>
      <c r="W2" s="33" t="s">
        <v>59</v>
      </c>
      <c r="X2" s="33" t="s">
        <v>60</v>
      </c>
      <c r="Y2" s="33" t="s">
        <v>61</v>
      </c>
      <c r="Z2" s="33" t="s">
        <v>62</v>
      </c>
      <c r="AA2" s="33" t="s">
        <v>63</v>
      </c>
      <c r="AB2" s="33" t="s">
        <v>64</v>
      </c>
      <c r="AC2" s="33" t="s">
        <v>65</v>
      </c>
      <c r="AD2" s="33" t="s">
        <v>66</v>
      </c>
      <c r="AE2" s="33" t="s">
        <v>67</v>
      </c>
      <c r="AF2" s="33" t="s">
        <v>68</v>
      </c>
      <c r="AG2" s="33" t="s">
        <v>69</v>
      </c>
      <c r="AH2" s="33" t="s">
        <v>70</v>
      </c>
      <c r="AI2" s="33" t="s">
        <v>71</v>
      </c>
      <c r="AJ2" s="33" t="s">
        <v>72</v>
      </c>
      <c r="AK2" s="33" t="s">
        <v>73</v>
      </c>
      <c r="AL2" s="33" t="s">
        <v>74</v>
      </c>
      <c r="AM2" s="33" t="s">
        <v>75</v>
      </c>
      <c r="AN2" s="33" t="s">
        <v>76</v>
      </c>
      <c r="AO2" s="33" t="s">
        <v>77</v>
      </c>
      <c r="AP2" s="33" t="s">
        <v>78</v>
      </c>
      <c r="AQ2" s="33" t="s">
        <v>79</v>
      </c>
      <c r="AR2" s="33" t="s">
        <v>80</v>
      </c>
      <c r="AS2" s="33" t="s">
        <v>81</v>
      </c>
      <c r="AT2" s="33" t="s">
        <v>82</v>
      </c>
      <c r="AU2" s="33" t="s">
        <v>83</v>
      </c>
      <c r="AV2" s="33" t="s">
        <v>84</v>
      </c>
      <c r="AW2" s="33" t="s">
        <v>85</v>
      </c>
      <c r="AX2" s="7" t="s">
        <v>86</v>
      </c>
      <c r="AY2" s="7" t="s">
        <v>87</v>
      </c>
      <c r="AZ2" s="8" t="s">
        <v>88</v>
      </c>
      <c r="BA2" s="1"/>
      <c r="BB2" s="3" t="s">
        <v>89</v>
      </c>
    </row>
    <row r="3" spans="1:54" ht="24" x14ac:dyDescent="0.35">
      <c r="A3" s="1"/>
      <c r="B3" s="42" t="s">
        <v>170</v>
      </c>
      <c r="C3" s="40"/>
      <c r="D3" s="43" t="s">
        <v>180</v>
      </c>
      <c r="E3" s="41" t="str">
        <f t="shared" ref="E3:E4" si="0">TRIM(TRIM(B3 &amp; " " &amp; C3) &amp; " " &amp; D3)</f>
        <v>Femke Jansen</v>
      </c>
      <c r="F3" s="61" t="str">
        <f>IF(LEN(D3)&gt;0, D3&amp;", "&amp;B3&amp;" "&amp;C3,"")</f>
        <v xml:space="preserve">Jansen, Femke </v>
      </c>
      <c r="G3" s="62">
        <v>123456</v>
      </c>
      <c r="H3" s="29"/>
      <c r="I3" s="30" t="s">
        <v>176</v>
      </c>
      <c r="J3" s="31" t="s">
        <v>178</v>
      </c>
      <c r="K3" s="30" t="s">
        <v>90</v>
      </c>
      <c r="L3" s="32">
        <v>13732</v>
      </c>
      <c r="M3" s="20"/>
      <c r="N3" s="24" t="s">
        <v>91</v>
      </c>
      <c r="O3" s="38"/>
      <c r="P3" s="21"/>
      <c r="Q3" s="9"/>
      <c r="R3" s="9"/>
      <c r="S3" s="9"/>
      <c r="T3" s="9"/>
      <c r="U3" s="9" t="s">
        <v>92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 t="s">
        <v>92</v>
      </c>
      <c r="AI3" s="9"/>
      <c r="AJ3" s="9" t="s">
        <v>92</v>
      </c>
      <c r="AK3" s="9"/>
      <c r="AL3" s="9" t="s">
        <v>92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26" t="s">
        <v>93</v>
      </c>
      <c r="AZ3" s="10"/>
      <c r="BA3" s="1"/>
      <c r="BB3" s="25" t="s">
        <v>94</v>
      </c>
    </row>
    <row r="4" spans="1:54" ht="24" x14ac:dyDescent="0.35">
      <c r="A4" s="1"/>
      <c r="B4" s="63" t="s">
        <v>171</v>
      </c>
      <c r="C4" s="64" t="s">
        <v>172</v>
      </c>
      <c r="D4" s="65" t="s">
        <v>173</v>
      </c>
      <c r="E4" s="41" t="str">
        <f t="shared" si="0"/>
        <v>Nico van de Velde</v>
      </c>
      <c r="F4" s="61" t="str">
        <f>IF(LEN(D4)&gt;0, D4&amp;", "&amp;TRIM(B4&amp;" "&amp;C4),"")</f>
        <v>Velde, Nico van de</v>
      </c>
      <c r="G4" s="41" t="s">
        <v>174</v>
      </c>
      <c r="H4" s="60" t="s">
        <v>175</v>
      </c>
      <c r="I4" s="2" t="s">
        <v>177</v>
      </c>
      <c r="J4" s="4" t="s">
        <v>179</v>
      </c>
      <c r="K4" s="2" t="s">
        <v>90</v>
      </c>
      <c r="L4" s="17"/>
      <c r="M4" s="20"/>
      <c r="N4" s="22" t="s">
        <v>91</v>
      </c>
      <c r="O4" s="39"/>
      <c r="P4" s="14"/>
      <c r="Q4" s="11"/>
      <c r="R4" s="11"/>
      <c r="S4" s="11"/>
      <c r="T4" s="11"/>
      <c r="U4" s="11"/>
      <c r="V4" s="11"/>
      <c r="W4" s="11"/>
      <c r="X4" s="11"/>
      <c r="Y4" s="11"/>
      <c r="Z4" s="11"/>
      <c r="AA4" s="11" t="s">
        <v>95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3"/>
      <c r="AZ4" s="12"/>
      <c r="BA4" s="1"/>
      <c r="BB4" s="25" t="s">
        <v>96</v>
      </c>
    </row>
  </sheetData>
  <hyperlinks>
    <hyperlink ref="H4" r:id="rId1" xr:uid="{3C5DF2B3-0554-45EC-BB0A-921EC54D88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085D-79C3-4DD1-91EC-6365145FA4BE}">
  <dimension ref="A2:E43"/>
  <sheetViews>
    <sheetView workbookViewId="0">
      <selection activeCell="E7" sqref="E7"/>
    </sheetView>
  </sheetViews>
  <sheetFormatPr defaultRowHeight="14.5" x14ac:dyDescent="0.35"/>
  <cols>
    <col min="1" max="1" width="4.26953125" bestFit="1" customWidth="1"/>
    <col min="2" max="2" width="23.453125" bestFit="1" customWidth="1"/>
    <col min="4" max="4" width="19.81640625" bestFit="1" customWidth="1"/>
    <col min="5" max="5" width="40.1796875" customWidth="1"/>
  </cols>
  <sheetData>
    <row r="2" spans="1:5" x14ac:dyDescent="0.35">
      <c r="A2" s="47" t="s">
        <v>97</v>
      </c>
      <c r="B2" s="47" t="s">
        <v>98</v>
      </c>
      <c r="C2" s="47"/>
      <c r="D2" s="46" t="s">
        <v>99</v>
      </c>
      <c r="E2" s="46" t="s">
        <v>100</v>
      </c>
    </row>
    <row r="3" spans="1:5" ht="64" x14ac:dyDescent="0.35">
      <c r="A3" s="51"/>
      <c r="B3" s="51"/>
      <c r="C3" s="52"/>
      <c r="D3" s="53"/>
      <c r="E3" s="54" t="s">
        <v>101</v>
      </c>
    </row>
    <row r="4" spans="1:5" x14ac:dyDescent="0.35">
      <c r="A4" s="48" t="s">
        <v>50</v>
      </c>
      <c r="B4" s="48" t="s">
        <v>102</v>
      </c>
      <c r="C4" s="49"/>
      <c r="D4" s="45" t="s">
        <v>103</v>
      </c>
      <c r="E4" s="59"/>
    </row>
    <row r="5" spans="1:5" x14ac:dyDescent="0.35">
      <c r="A5" s="48" t="s">
        <v>51</v>
      </c>
      <c r="B5" s="48" t="s">
        <v>104</v>
      </c>
      <c r="C5" s="49"/>
      <c r="D5" s="45" t="s">
        <v>103</v>
      </c>
      <c r="E5" s="59"/>
    </row>
    <row r="6" spans="1:5" x14ac:dyDescent="0.35">
      <c r="A6" s="45" t="s">
        <v>52</v>
      </c>
      <c r="B6" s="45" t="s">
        <v>105</v>
      </c>
      <c r="C6" s="44"/>
      <c r="D6" s="45" t="s">
        <v>106</v>
      </c>
      <c r="E6" s="45" t="s">
        <v>107</v>
      </c>
    </row>
    <row r="7" spans="1:5" x14ac:dyDescent="0.35">
      <c r="A7" s="45" t="s">
        <v>53</v>
      </c>
      <c r="B7" s="45" t="s">
        <v>108</v>
      </c>
      <c r="C7" s="44"/>
      <c r="D7" s="45" t="s">
        <v>109</v>
      </c>
      <c r="E7" s="58"/>
    </row>
    <row r="8" spans="1:5" x14ac:dyDescent="0.35">
      <c r="A8" s="45" t="s">
        <v>54</v>
      </c>
      <c r="B8" s="45" t="s">
        <v>110</v>
      </c>
      <c r="C8" s="44"/>
      <c r="D8" s="45" t="s">
        <v>111</v>
      </c>
      <c r="E8" s="58"/>
    </row>
    <row r="9" spans="1:5" x14ac:dyDescent="0.35">
      <c r="A9" s="45" t="s">
        <v>55</v>
      </c>
      <c r="B9" s="45" t="s">
        <v>112</v>
      </c>
      <c r="C9" s="44"/>
      <c r="D9" s="45" t="s">
        <v>111</v>
      </c>
      <c r="E9" s="58"/>
    </row>
    <row r="10" spans="1:5" x14ac:dyDescent="0.35">
      <c r="A10" s="45" t="s">
        <v>56</v>
      </c>
      <c r="B10" s="45" t="s">
        <v>113</v>
      </c>
      <c r="C10" s="44"/>
      <c r="D10" s="45" t="s">
        <v>103</v>
      </c>
      <c r="E10" s="58"/>
    </row>
    <row r="11" spans="1:5" x14ac:dyDescent="0.35">
      <c r="A11" s="45" t="s">
        <v>57</v>
      </c>
      <c r="B11" s="58" t="s">
        <v>7</v>
      </c>
      <c r="C11" s="44"/>
      <c r="D11" s="45" t="s">
        <v>114</v>
      </c>
      <c r="E11" s="58" t="s">
        <v>115</v>
      </c>
    </row>
    <row r="12" spans="1:5" x14ac:dyDescent="0.35">
      <c r="A12" s="45" t="s">
        <v>58</v>
      </c>
      <c r="B12" s="45" t="s">
        <v>116</v>
      </c>
      <c r="C12" s="44"/>
      <c r="D12" s="45" t="s">
        <v>114</v>
      </c>
      <c r="E12" s="58" t="s">
        <v>115</v>
      </c>
    </row>
    <row r="13" spans="1:5" x14ac:dyDescent="0.35">
      <c r="A13" s="45" t="s">
        <v>59</v>
      </c>
      <c r="B13" s="45" t="s">
        <v>117</v>
      </c>
      <c r="C13" s="44"/>
      <c r="D13" s="45" t="s">
        <v>111</v>
      </c>
      <c r="E13" s="58"/>
    </row>
    <row r="14" spans="1:5" x14ac:dyDescent="0.35">
      <c r="A14" s="45" t="s">
        <v>60</v>
      </c>
      <c r="B14" s="45" t="s">
        <v>118</v>
      </c>
      <c r="C14" s="44"/>
      <c r="D14" s="45" t="s">
        <v>103</v>
      </c>
      <c r="E14" s="58"/>
    </row>
    <row r="15" spans="1:5" x14ac:dyDescent="0.35">
      <c r="A15" s="45" t="s">
        <v>61</v>
      </c>
      <c r="B15" s="45" t="s">
        <v>119</v>
      </c>
      <c r="C15" s="44"/>
      <c r="D15" s="45" t="s">
        <v>120</v>
      </c>
      <c r="E15" s="58" t="s">
        <v>121</v>
      </c>
    </row>
    <row r="16" spans="1:5" x14ac:dyDescent="0.35">
      <c r="A16" s="45" t="s">
        <v>63</v>
      </c>
      <c r="B16" s="45" t="s">
        <v>122</v>
      </c>
      <c r="C16" s="44"/>
      <c r="D16" s="45" t="s">
        <v>123</v>
      </c>
      <c r="E16" s="58"/>
    </row>
    <row r="17" spans="1:5" x14ac:dyDescent="0.35">
      <c r="A17" s="45" t="s">
        <v>64</v>
      </c>
      <c r="B17" s="45" t="s">
        <v>124</v>
      </c>
      <c r="C17" s="44"/>
      <c r="D17" s="45" t="s">
        <v>125</v>
      </c>
      <c r="E17" s="45" t="s">
        <v>121</v>
      </c>
    </row>
    <row r="18" spans="1:5" x14ac:dyDescent="0.35">
      <c r="A18" s="45" t="s">
        <v>62</v>
      </c>
      <c r="B18" s="45" t="s">
        <v>12</v>
      </c>
      <c r="C18" s="44"/>
      <c r="D18" s="45" t="s">
        <v>126</v>
      </c>
      <c r="E18" s="58" t="s">
        <v>127</v>
      </c>
    </row>
    <row r="19" spans="1:5" x14ac:dyDescent="0.35">
      <c r="A19" s="45" t="s">
        <v>65</v>
      </c>
      <c r="B19" s="45" t="s">
        <v>128</v>
      </c>
      <c r="C19" s="44"/>
      <c r="D19" s="45" t="s">
        <v>111</v>
      </c>
      <c r="E19" s="58"/>
    </row>
    <row r="20" spans="1:5" x14ac:dyDescent="0.35">
      <c r="A20" s="45" t="s">
        <v>66</v>
      </c>
      <c r="B20" s="45" t="s">
        <v>104</v>
      </c>
      <c r="C20" s="44"/>
      <c r="D20" s="45" t="s">
        <v>129</v>
      </c>
      <c r="E20" s="58" t="s">
        <v>130</v>
      </c>
    </row>
    <row r="21" spans="1:5" x14ac:dyDescent="0.35">
      <c r="A21" s="45" t="s">
        <v>67</v>
      </c>
      <c r="B21" s="45" t="s">
        <v>131</v>
      </c>
      <c r="C21" s="44"/>
      <c r="D21" s="45" t="s">
        <v>111</v>
      </c>
      <c r="E21" s="58"/>
    </row>
    <row r="22" spans="1:5" x14ac:dyDescent="0.35">
      <c r="A22" s="45" t="s">
        <v>68</v>
      </c>
      <c r="B22" s="45" t="s">
        <v>132</v>
      </c>
      <c r="C22" s="44"/>
      <c r="D22" s="45" t="s">
        <v>133</v>
      </c>
      <c r="E22" s="58" t="s">
        <v>130</v>
      </c>
    </row>
    <row r="23" spans="1:5" x14ac:dyDescent="0.35">
      <c r="A23" s="45" t="s">
        <v>69</v>
      </c>
      <c r="B23" s="45" t="s">
        <v>134</v>
      </c>
      <c r="C23" s="44"/>
      <c r="D23" s="45" t="s">
        <v>135</v>
      </c>
      <c r="E23" s="58"/>
    </row>
    <row r="24" spans="1:5" x14ac:dyDescent="0.35">
      <c r="A24" s="45" t="s">
        <v>70</v>
      </c>
      <c r="B24" s="45" t="s">
        <v>136</v>
      </c>
      <c r="C24" s="44"/>
      <c r="D24" s="45" t="s">
        <v>137</v>
      </c>
      <c r="E24" s="58" t="s">
        <v>138</v>
      </c>
    </row>
    <row r="25" spans="1:5" x14ac:dyDescent="0.35">
      <c r="A25" s="45" t="s">
        <v>71</v>
      </c>
      <c r="B25" s="45" t="s">
        <v>139</v>
      </c>
      <c r="C25" s="44"/>
      <c r="D25" s="45" t="s">
        <v>140</v>
      </c>
      <c r="E25" s="58"/>
    </row>
    <row r="26" spans="1:5" x14ac:dyDescent="0.35">
      <c r="A26" s="45" t="s">
        <v>72</v>
      </c>
      <c r="B26" s="45" t="s">
        <v>141</v>
      </c>
      <c r="C26" s="44"/>
      <c r="D26" s="45" t="s">
        <v>142</v>
      </c>
      <c r="E26" s="58" t="s">
        <v>143</v>
      </c>
    </row>
    <row r="27" spans="1:5" x14ac:dyDescent="0.35">
      <c r="A27" s="45" t="s">
        <v>73</v>
      </c>
      <c r="B27" s="58" t="s">
        <v>23</v>
      </c>
      <c r="C27" s="44"/>
      <c r="D27" s="45" t="s">
        <v>103</v>
      </c>
      <c r="E27" s="58"/>
    </row>
    <row r="28" spans="1:5" x14ac:dyDescent="0.35">
      <c r="A28" s="45" t="s">
        <v>74</v>
      </c>
      <c r="B28" s="45" t="s">
        <v>144</v>
      </c>
      <c r="C28" s="44"/>
      <c r="D28" s="45" t="s">
        <v>145</v>
      </c>
      <c r="E28" s="58" t="s">
        <v>130</v>
      </c>
    </row>
    <row r="29" spans="1:5" x14ac:dyDescent="0.35">
      <c r="A29" s="45" t="s">
        <v>75</v>
      </c>
      <c r="B29" s="45" t="s">
        <v>146</v>
      </c>
      <c r="C29" s="44"/>
      <c r="D29" s="45" t="s">
        <v>147</v>
      </c>
      <c r="E29" s="58" t="s">
        <v>148</v>
      </c>
    </row>
    <row r="30" spans="1:5" x14ac:dyDescent="0.35">
      <c r="A30" s="45" t="s">
        <v>76</v>
      </c>
      <c r="B30" s="45" t="s">
        <v>149</v>
      </c>
      <c r="C30" s="44"/>
      <c r="D30" s="45" t="s">
        <v>103</v>
      </c>
      <c r="E30" s="58"/>
    </row>
    <row r="31" spans="1:5" x14ac:dyDescent="0.35">
      <c r="A31" s="45" t="s">
        <v>77</v>
      </c>
      <c r="B31" s="45" t="s">
        <v>150</v>
      </c>
      <c r="C31" s="44"/>
      <c r="D31" s="45" t="s">
        <v>151</v>
      </c>
      <c r="E31" s="58" t="s">
        <v>115</v>
      </c>
    </row>
    <row r="32" spans="1:5" x14ac:dyDescent="0.35">
      <c r="A32" s="45" t="s">
        <v>78</v>
      </c>
      <c r="B32" s="45" t="s">
        <v>152</v>
      </c>
      <c r="C32" s="44"/>
      <c r="D32" s="45" t="s">
        <v>103</v>
      </c>
      <c r="E32" s="58"/>
    </row>
    <row r="33" spans="1:5" x14ac:dyDescent="0.35">
      <c r="A33" s="45" t="s">
        <v>79</v>
      </c>
      <c r="B33" s="45" t="s">
        <v>153</v>
      </c>
      <c r="C33" s="44"/>
      <c r="D33" s="45" t="s">
        <v>154</v>
      </c>
      <c r="E33" s="58" t="s">
        <v>130</v>
      </c>
    </row>
    <row r="34" spans="1:5" x14ac:dyDescent="0.35">
      <c r="A34" s="45" t="s">
        <v>80</v>
      </c>
      <c r="B34" s="45" t="s">
        <v>30</v>
      </c>
      <c r="C34" s="44"/>
      <c r="D34" s="45" t="s">
        <v>103</v>
      </c>
      <c r="E34" s="58"/>
    </row>
    <row r="35" spans="1:5" x14ac:dyDescent="0.35">
      <c r="A35" s="45" t="s">
        <v>81</v>
      </c>
      <c r="B35" s="45" t="s">
        <v>155</v>
      </c>
      <c r="C35" s="44"/>
      <c r="D35" s="45" t="s">
        <v>156</v>
      </c>
      <c r="E35" s="58" t="s">
        <v>130</v>
      </c>
    </row>
    <row r="36" spans="1:5" x14ac:dyDescent="0.35">
      <c r="A36" s="45" t="s">
        <v>82</v>
      </c>
      <c r="B36" s="45" t="s">
        <v>157</v>
      </c>
      <c r="C36" s="44"/>
      <c r="D36" s="45" t="s">
        <v>158</v>
      </c>
      <c r="E36" s="58" t="s">
        <v>159</v>
      </c>
    </row>
    <row r="37" spans="1:5" x14ac:dyDescent="0.35">
      <c r="A37" s="45" t="s">
        <v>83</v>
      </c>
      <c r="B37" s="45" t="s">
        <v>160</v>
      </c>
      <c r="C37" s="44"/>
      <c r="D37" s="45" t="s">
        <v>161</v>
      </c>
      <c r="E37" s="58" t="s">
        <v>162</v>
      </c>
    </row>
    <row r="38" spans="1:5" x14ac:dyDescent="0.35">
      <c r="A38" s="45" t="s">
        <v>84</v>
      </c>
      <c r="B38" s="45" t="s">
        <v>163</v>
      </c>
      <c r="C38" s="44"/>
      <c r="D38" s="45" t="s">
        <v>164</v>
      </c>
      <c r="E38" s="58" t="s">
        <v>130</v>
      </c>
    </row>
    <row r="39" spans="1:5" x14ac:dyDescent="0.35">
      <c r="A39" s="45" t="s">
        <v>85</v>
      </c>
      <c r="B39" s="58" t="s">
        <v>35</v>
      </c>
      <c r="C39" s="44"/>
      <c r="D39" s="45" t="s">
        <v>142</v>
      </c>
      <c r="E39" s="58" t="s">
        <v>143</v>
      </c>
    </row>
    <row r="40" spans="1:5" x14ac:dyDescent="0.35">
      <c r="A40" s="45" t="s">
        <v>86</v>
      </c>
      <c r="B40" s="45" t="s">
        <v>165</v>
      </c>
      <c r="C40" s="44"/>
      <c r="D40" s="45" t="s">
        <v>106</v>
      </c>
      <c r="E40" s="45" t="s">
        <v>107</v>
      </c>
    </row>
    <row r="41" spans="1:5" x14ac:dyDescent="0.35">
      <c r="A41" s="50" t="s">
        <v>87</v>
      </c>
      <c r="B41" s="57" t="s">
        <v>37</v>
      </c>
      <c r="C41" s="44"/>
      <c r="D41" s="50" t="s">
        <v>166</v>
      </c>
      <c r="E41" s="57"/>
    </row>
    <row r="42" spans="1:5" x14ac:dyDescent="0.35">
      <c r="A42" s="50" t="s">
        <v>88</v>
      </c>
      <c r="B42" s="50" t="s">
        <v>167</v>
      </c>
      <c r="C42" s="44"/>
      <c r="D42" s="50" t="s">
        <v>168</v>
      </c>
      <c r="E42" s="57" t="s">
        <v>130</v>
      </c>
    </row>
    <row r="43" spans="1:5" ht="64" x14ac:dyDescent="0.35">
      <c r="A43" s="55"/>
      <c r="B43" s="55"/>
      <c r="C43" s="55"/>
      <c r="D43" s="55"/>
      <c r="E43" s="5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van de Veerdonk</dc:creator>
  <cp:lastModifiedBy>Mark van de Veerdonk</cp:lastModifiedBy>
  <dcterms:created xsi:type="dcterms:W3CDTF">2025-12-12T16:32:28Z</dcterms:created>
  <dcterms:modified xsi:type="dcterms:W3CDTF">2025-12-12T16:37:46Z</dcterms:modified>
</cp:coreProperties>
</file>